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a.freitas\Desktop\"/>
    </mc:Choice>
  </mc:AlternateContent>
  <xr:revisionPtr revIDLastSave="0" documentId="8_{AA168ABB-DC58-4537-842A-013ED7EA5231}" xr6:coauthVersionLast="47" xr6:coauthVersionMax="47" xr10:uidLastSave="{00000000-0000-0000-0000-000000000000}"/>
  <bookViews>
    <workbookView xWindow="3465" yWindow="3465" windowWidth="21600" windowHeight="11295" activeTab="1" xr2:uid="{7EE11A1B-D8A0-47BF-B57D-DC4C0340E18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3" i="2"/>
  <c r="C8" i="2"/>
  <c r="B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F8" i="2" s="1"/>
  <c r="E2" i="2"/>
  <c r="E8" i="2" s="1"/>
  <c r="D2" i="2"/>
  <c r="D8" i="2" s="1"/>
  <c r="B15" i="1"/>
  <c r="B12" i="1"/>
  <c r="B13" i="1"/>
  <c r="B14" i="1" s="1"/>
  <c r="B11" i="1"/>
  <c r="D8" i="1"/>
  <c r="E8" i="1"/>
  <c r="F8" i="1"/>
  <c r="F2" i="1"/>
  <c r="F3" i="1"/>
  <c r="F4" i="1"/>
  <c r="F5" i="1"/>
  <c r="F6" i="1"/>
  <c r="F7" i="1"/>
  <c r="E3" i="1"/>
  <c r="E4" i="1"/>
  <c r="E5" i="1"/>
  <c r="E6" i="1"/>
  <c r="E7" i="1"/>
  <c r="E2" i="1"/>
  <c r="D3" i="1"/>
  <c r="D4" i="1"/>
  <c r="D5" i="1"/>
  <c r="D6" i="1"/>
  <c r="D7" i="1"/>
  <c r="D2" i="1"/>
  <c r="C8" i="1"/>
  <c r="B8" i="1"/>
  <c r="B14" i="2" l="1"/>
  <c r="B15" i="2" s="1"/>
</calcChain>
</file>

<file path=xl/sharedStrings.xml><?xml version="1.0" encoding="utf-8"?>
<sst xmlns="http://schemas.openxmlformats.org/spreadsheetml/2006/main" count="38" uniqueCount="21">
  <si>
    <t>COMPANHIA</t>
  </si>
  <si>
    <t>ANÚNCIOS (X)</t>
  </si>
  <si>
    <t>CARROS VENDIDOS (Y)</t>
  </si>
  <si>
    <t>A</t>
  </si>
  <si>
    <t>B</t>
  </si>
  <si>
    <t>C</t>
  </si>
  <si>
    <t>D</t>
  </si>
  <si>
    <t>E</t>
  </si>
  <si>
    <t>F</t>
  </si>
  <si>
    <t>TOTAL</t>
  </si>
  <si>
    <t>XY</t>
  </si>
  <si>
    <t>X2</t>
  </si>
  <si>
    <t>Y2</t>
  </si>
  <si>
    <t>DENOMINADOR</t>
  </si>
  <si>
    <t>NUMERADOR</t>
  </si>
  <si>
    <t>RAIZ</t>
  </si>
  <si>
    <t>n</t>
  </si>
  <si>
    <t>Coef. Correlação r</t>
  </si>
  <si>
    <t>Coef. De Explicação R2</t>
  </si>
  <si>
    <t>NUMERADOR de B</t>
  </si>
  <si>
    <t>DENOMINADOR de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</si>
</sst>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70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B0F0"/>
      <name val="Arial"/>
      <family val="2"/>
    </font>
    <font>
      <b/>
      <sz val="11"/>
      <color rgb="FFFF66CC"/>
      <name val="Arial"/>
      <family val="2"/>
    </font>
    <font>
      <b/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70" fontId="2" fillId="0" borderId="3" xfId="1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70" fontId="2" fillId="0" borderId="3" xfId="0" applyNumberFormat="1" applyFont="1" applyBorder="1" applyAlignment="1">
      <alignment horizontal="center"/>
    </xf>
    <xf numFmtId="1" fontId="2" fillId="0" borderId="3" xfId="2" applyNumberFormat="1" applyFont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FFA1-80D1-497D-84F0-4AD5D324D2FF}">
  <dimension ref="A1:F36"/>
  <sheetViews>
    <sheetView workbookViewId="0">
      <selection activeCell="B11" sqref="B11"/>
    </sheetView>
  </sheetViews>
  <sheetFormatPr defaultRowHeight="15" x14ac:dyDescent="0.25"/>
  <cols>
    <col min="1" max="1" width="25" bestFit="1" customWidth="1"/>
    <col min="2" max="2" width="29.7109375" bestFit="1" customWidth="1"/>
    <col min="3" max="3" width="28" bestFit="1" customWidth="1"/>
    <col min="4" max="4" width="9.140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</row>
    <row r="2" spans="1:6" ht="15.75" x14ac:dyDescent="0.25">
      <c r="A2" s="3" t="s">
        <v>3</v>
      </c>
      <c r="B2" s="3">
        <v>74</v>
      </c>
      <c r="C2" s="3">
        <v>139</v>
      </c>
      <c r="D2" s="3">
        <f>B2*C2</f>
        <v>10286</v>
      </c>
      <c r="E2" s="3">
        <f>B2*B2</f>
        <v>5476</v>
      </c>
      <c r="F2" s="3">
        <f>C2*C2</f>
        <v>19321</v>
      </c>
    </row>
    <row r="3" spans="1:6" ht="15.75" x14ac:dyDescent="0.25">
      <c r="A3" s="3" t="s">
        <v>4</v>
      </c>
      <c r="B3" s="3">
        <v>45</v>
      </c>
      <c r="C3" s="3">
        <v>108</v>
      </c>
      <c r="D3" s="3">
        <f t="shared" ref="D3:D7" si="0">B3*C3</f>
        <v>4860</v>
      </c>
      <c r="E3" s="3">
        <f t="shared" ref="E3:F7" si="1">B3*B3</f>
        <v>2025</v>
      </c>
      <c r="F3" s="3">
        <f t="shared" si="1"/>
        <v>11664</v>
      </c>
    </row>
    <row r="4" spans="1:6" ht="15.75" x14ac:dyDescent="0.25">
      <c r="A4" s="3" t="s">
        <v>5</v>
      </c>
      <c r="B4" s="3">
        <v>48</v>
      </c>
      <c r="C4" s="3">
        <v>98</v>
      </c>
      <c r="D4" s="3">
        <f t="shared" si="0"/>
        <v>4704</v>
      </c>
      <c r="E4" s="3">
        <f t="shared" si="1"/>
        <v>2304</v>
      </c>
      <c r="F4" s="3">
        <f t="shared" si="1"/>
        <v>9604</v>
      </c>
    </row>
    <row r="5" spans="1:6" ht="15.75" x14ac:dyDescent="0.25">
      <c r="A5" s="3" t="s">
        <v>6</v>
      </c>
      <c r="B5" s="3">
        <v>36</v>
      </c>
      <c r="C5" s="3">
        <v>76</v>
      </c>
      <c r="D5" s="3">
        <f t="shared" si="0"/>
        <v>2736</v>
      </c>
      <c r="E5" s="3">
        <f t="shared" si="1"/>
        <v>1296</v>
      </c>
      <c r="F5" s="3">
        <f t="shared" si="1"/>
        <v>5776</v>
      </c>
    </row>
    <row r="6" spans="1:6" ht="15.75" x14ac:dyDescent="0.25">
      <c r="A6" s="3" t="s">
        <v>7</v>
      </c>
      <c r="B6" s="3">
        <v>27</v>
      </c>
      <c r="C6" s="3">
        <v>62</v>
      </c>
      <c r="D6" s="3">
        <f t="shared" si="0"/>
        <v>1674</v>
      </c>
      <c r="E6" s="3">
        <f t="shared" si="1"/>
        <v>729</v>
      </c>
      <c r="F6" s="3">
        <f t="shared" si="1"/>
        <v>3844</v>
      </c>
    </row>
    <row r="7" spans="1:6" ht="15.75" x14ac:dyDescent="0.25">
      <c r="A7" s="3" t="s">
        <v>8</v>
      </c>
      <c r="B7" s="3">
        <v>16</v>
      </c>
      <c r="C7" s="3">
        <v>57</v>
      </c>
      <c r="D7" s="3">
        <f t="shared" si="0"/>
        <v>912</v>
      </c>
      <c r="E7" s="3">
        <f t="shared" si="1"/>
        <v>256</v>
      </c>
      <c r="F7" s="3">
        <f t="shared" si="1"/>
        <v>3249</v>
      </c>
    </row>
    <row r="8" spans="1:6" ht="15.75" x14ac:dyDescent="0.25">
      <c r="A8" s="4" t="s">
        <v>9</v>
      </c>
      <c r="B8" s="4">
        <f>SUM(B2:B7)</f>
        <v>246</v>
      </c>
      <c r="C8" s="4">
        <f>SUM(C2:C7)</f>
        <v>540</v>
      </c>
      <c r="D8" s="4">
        <f t="shared" ref="D8:F8" si="2">SUM(D2:D7)</f>
        <v>25172</v>
      </c>
      <c r="E8" s="4">
        <f t="shared" si="2"/>
        <v>12086</v>
      </c>
      <c r="F8" s="4">
        <f t="shared" si="2"/>
        <v>53458</v>
      </c>
    </row>
    <row r="9" spans="1:6" ht="15.75" thickBot="1" x14ac:dyDescent="0.3"/>
    <row r="10" spans="1:6" ht="16.5" thickBot="1" x14ac:dyDescent="0.3">
      <c r="A10" s="14" t="s">
        <v>16</v>
      </c>
      <c r="B10" s="14">
        <v>6</v>
      </c>
      <c r="C10" s="5"/>
      <c r="D10" s="5"/>
      <c r="E10" s="5"/>
      <c r="F10" s="5"/>
    </row>
    <row r="11" spans="1:6" ht="15.75" thickBot="1" x14ac:dyDescent="0.3">
      <c r="A11" s="6" t="s">
        <v>14</v>
      </c>
      <c r="B11" s="7">
        <f>(B10*D8)-(B8*C8)</f>
        <v>18192</v>
      </c>
      <c r="D11" s="5"/>
      <c r="E11" s="5"/>
      <c r="F11" s="5"/>
    </row>
    <row r="12" spans="1:6" ht="15.75" thickBot="1" x14ac:dyDescent="0.3">
      <c r="A12" s="8" t="s">
        <v>13</v>
      </c>
      <c r="B12" s="16">
        <f>((B10*E8)-(B8^2))*((B10*F8)-(C8^2))</f>
        <v>349776000</v>
      </c>
      <c r="C12" s="5"/>
      <c r="D12" s="5"/>
      <c r="E12" s="5"/>
      <c r="F12" s="5"/>
    </row>
    <row r="13" spans="1:6" ht="15.75" thickBot="1" x14ac:dyDescent="0.3">
      <c r="A13" s="9" t="s">
        <v>15</v>
      </c>
      <c r="B13" s="10">
        <f>SQRT(B12)</f>
        <v>18702.299323879939</v>
      </c>
      <c r="D13" s="5"/>
      <c r="E13" s="5"/>
      <c r="F13" s="5"/>
    </row>
    <row r="14" spans="1:6" ht="15.75" thickBot="1" x14ac:dyDescent="0.3">
      <c r="A14" s="11" t="s">
        <v>17</v>
      </c>
      <c r="B14" s="12">
        <f>B11/B13</f>
        <v>0.97271462107183981</v>
      </c>
      <c r="D14" s="5"/>
      <c r="E14" s="5"/>
      <c r="F14" s="5"/>
    </row>
    <row r="15" spans="1:6" ht="15.75" thickBot="1" x14ac:dyDescent="0.3">
      <c r="A15" s="13" t="s">
        <v>18</v>
      </c>
      <c r="B15" s="15">
        <f>B14^2</f>
        <v>0.94617373404693295</v>
      </c>
      <c r="D15" s="5"/>
      <c r="E15" s="5"/>
      <c r="F15" s="5"/>
    </row>
    <row r="16" spans="1:6" x14ac:dyDescent="0.25">
      <c r="A16" s="5"/>
      <c r="C16" s="5"/>
      <c r="D16" s="5"/>
      <c r="E16" s="5"/>
      <c r="F16" s="5"/>
    </row>
    <row r="17" spans="1:6" x14ac:dyDescent="0.25">
      <c r="B17" s="5"/>
      <c r="D17" s="5"/>
      <c r="E17" s="5"/>
      <c r="F17" s="5"/>
    </row>
    <row r="18" spans="1:6" x14ac:dyDescent="0.25"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C7D-C768-4DC2-B41B-D8F37A929466}">
  <dimension ref="A1:F15"/>
  <sheetViews>
    <sheetView tabSelected="1" workbookViewId="0">
      <selection activeCell="B13" sqref="B13"/>
    </sheetView>
  </sheetViews>
  <sheetFormatPr defaultRowHeight="15" x14ac:dyDescent="0.25"/>
  <cols>
    <col min="1" max="1" width="25" bestFit="1" customWidth="1"/>
    <col min="2" max="2" width="17.28515625" bestFit="1" customWidth="1"/>
    <col min="3" max="3" width="28" bestFit="1" customWidth="1"/>
    <col min="4" max="4" width="9.140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</row>
    <row r="2" spans="1:6" ht="15.75" x14ac:dyDescent="0.25">
      <c r="A2" s="3" t="s">
        <v>3</v>
      </c>
      <c r="B2" s="3">
        <v>74</v>
      </c>
      <c r="C2" s="3">
        <v>139</v>
      </c>
      <c r="D2" s="3">
        <f>B2*C2</f>
        <v>10286</v>
      </c>
      <c r="E2" s="3">
        <f>B2*B2</f>
        <v>5476</v>
      </c>
      <c r="F2" s="3">
        <f>C2*C2</f>
        <v>19321</v>
      </c>
    </row>
    <row r="3" spans="1:6" ht="15.75" x14ac:dyDescent="0.25">
      <c r="A3" s="3" t="s">
        <v>4</v>
      </c>
      <c r="B3" s="3">
        <v>45</v>
      </c>
      <c r="C3" s="3">
        <v>108</v>
      </c>
      <c r="D3" s="3">
        <f t="shared" ref="D3:D7" si="0">B3*C3</f>
        <v>4860</v>
      </c>
      <c r="E3" s="3">
        <f t="shared" ref="E3:F7" si="1">B3*B3</f>
        <v>2025</v>
      </c>
      <c r="F3" s="3">
        <f t="shared" si="1"/>
        <v>11664</v>
      </c>
    </row>
    <row r="4" spans="1:6" ht="15.75" x14ac:dyDescent="0.25">
      <c r="A4" s="3" t="s">
        <v>5</v>
      </c>
      <c r="B4" s="3">
        <v>48</v>
      </c>
      <c r="C4" s="3">
        <v>98</v>
      </c>
      <c r="D4" s="3">
        <f t="shared" si="0"/>
        <v>4704</v>
      </c>
      <c r="E4" s="3">
        <f t="shared" si="1"/>
        <v>2304</v>
      </c>
      <c r="F4" s="3">
        <f t="shared" si="1"/>
        <v>9604</v>
      </c>
    </row>
    <row r="5" spans="1:6" ht="15.75" x14ac:dyDescent="0.25">
      <c r="A5" s="3" t="s">
        <v>6</v>
      </c>
      <c r="B5" s="3">
        <v>36</v>
      </c>
      <c r="C5" s="3">
        <v>76</v>
      </c>
      <c r="D5" s="3">
        <f t="shared" si="0"/>
        <v>2736</v>
      </c>
      <c r="E5" s="3">
        <f t="shared" si="1"/>
        <v>1296</v>
      </c>
      <c r="F5" s="3">
        <f t="shared" si="1"/>
        <v>5776</v>
      </c>
    </row>
    <row r="6" spans="1:6" ht="15.75" x14ac:dyDescent="0.25">
      <c r="A6" s="3" t="s">
        <v>7</v>
      </c>
      <c r="B6" s="3">
        <v>27</v>
      </c>
      <c r="C6" s="3">
        <v>62</v>
      </c>
      <c r="D6" s="3">
        <f t="shared" si="0"/>
        <v>1674</v>
      </c>
      <c r="E6" s="3">
        <f t="shared" si="1"/>
        <v>729</v>
      </c>
      <c r="F6" s="3">
        <f t="shared" si="1"/>
        <v>3844</v>
      </c>
    </row>
    <row r="7" spans="1:6" ht="15.75" x14ac:dyDescent="0.25">
      <c r="A7" s="3" t="s">
        <v>8</v>
      </c>
      <c r="B7" s="3">
        <v>16</v>
      </c>
      <c r="C7" s="3">
        <v>57</v>
      </c>
      <c r="D7" s="3">
        <f t="shared" si="0"/>
        <v>912</v>
      </c>
      <c r="E7" s="3">
        <f t="shared" si="1"/>
        <v>256</v>
      </c>
      <c r="F7" s="3">
        <f t="shared" si="1"/>
        <v>3249</v>
      </c>
    </row>
    <row r="8" spans="1:6" ht="15.75" x14ac:dyDescent="0.25">
      <c r="A8" s="4" t="s">
        <v>9</v>
      </c>
      <c r="B8" s="4">
        <f>SUM(B2:B7)</f>
        <v>246</v>
      </c>
      <c r="C8" s="4">
        <f>SUM(C2:C7)</f>
        <v>540</v>
      </c>
      <c r="D8" s="4">
        <f t="shared" ref="D8:F8" si="2">SUM(D2:D7)</f>
        <v>25172</v>
      </c>
      <c r="E8" s="4">
        <f t="shared" si="2"/>
        <v>12086</v>
      </c>
      <c r="F8" s="4">
        <f t="shared" si="2"/>
        <v>53458</v>
      </c>
    </row>
    <row r="9" spans="1:6" ht="15.75" thickBot="1" x14ac:dyDescent="0.3"/>
    <row r="10" spans="1:6" ht="16.5" thickBot="1" x14ac:dyDescent="0.3">
      <c r="A10" s="14" t="s">
        <v>16</v>
      </c>
      <c r="B10" s="14">
        <v>6</v>
      </c>
    </row>
    <row r="11" spans="1:6" ht="15.75" thickBot="1" x14ac:dyDescent="0.3">
      <c r="A11" s="6" t="s">
        <v>19</v>
      </c>
      <c r="B11" s="7">
        <f>D8-((B8*C8)/B10)</f>
        <v>3032</v>
      </c>
    </row>
    <row r="12" spans="1:6" ht="15.75" thickBot="1" x14ac:dyDescent="0.3">
      <c r="A12" s="8" t="s">
        <v>20</v>
      </c>
      <c r="B12" s="16">
        <f>E8-((B8)^2)/B8</f>
        <v>11840</v>
      </c>
    </row>
    <row r="13" spans="1:6" ht="15.75" thickBot="1" x14ac:dyDescent="0.3">
      <c r="A13" s="9" t="s">
        <v>15</v>
      </c>
      <c r="B13" s="10">
        <f>SQRT(B12)</f>
        <v>108.81176406988355</v>
      </c>
    </row>
    <row r="14" spans="1:6" ht="15.75" thickBot="1" x14ac:dyDescent="0.3">
      <c r="A14" s="11" t="s">
        <v>17</v>
      </c>
      <c r="B14" s="12">
        <f>B11/B13</f>
        <v>27.864634177355313</v>
      </c>
    </row>
    <row r="15" spans="1:6" ht="15.75" thickBot="1" x14ac:dyDescent="0.3">
      <c r="A15" s="13" t="s">
        <v>18</v>
      </c>
      <c r="B15" s="15">
        <f>B14^2</f>
        <v>776.43783783783783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Maria Dittert</dc:creator>
  <cp:lastModifiedBy>Lucas Andre Ferreira de Freitas</cp:lastModifiedBy>
  <dcterms:created xsi:type="dcterms:W3CDTF">2025-12-03T11:06:37Z</dcterms:created>
  <dcterms:modified xsi:type="dcterms:W3CDTF">2025-12-03T13:17:27Z</dcterms:modified>
</cp:coreProperties>
</file>